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0792b27b0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e80a86529b14f73"/>
    <x:sheet xmlns:r="http://schemas.openxmlformats.org/officeDocument/2006/relationships" name="Daily Data" sheetId="2" r:id="R0d0061a7a8994c61"/>
    <x:sheet xmlns:r="http://schemas.openxmlformats.org/officeDocument/2006/relationships" name="Hourly Data" sheetId="3" r:id="R4c61aacb4256436b"/>
    <x:sheet xmlns:r="http://schemas.openxmlformats.org/officeDocument/2006/relationships" name="Run Audit" sheetId="4" r:id="Rb0b79f83acab432b"/>
    <x:sheet xmlns:r="http://schemas.openxmlformats.org/officeDocument/2006/relationships" name="Data Dictionary" sheetId="5" r:id="R35f37150a19d4f69"/>
    <x:sheet xmlns:r="http://schemas.openxmlformats.org/officeDocument/2006/relationships" name="Chart Data" sheetId="6" r:id="R3213f183906b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&quot;NT$&quot;#,##0.00"/>
    <x:numFmt numFmtId="202" formatCode="0.000"/>
    <x:numFmt numFmtId="203" formatCode="yyyy-mm-dd hh:mm"/>
    <x:numFmt numFmtId="204" formatCode="0%"/>
  </x:numFmts>
  <x:fonts count="8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0"/>
      <x:color rgb="FF17324D"/>
      <x:name val="Arial"/>
    </x:font>
    <x:font>
      <x:b/>
      <x:sz val="20"/>
      <x:color rgb="FF17324D"/>
      <x:name val="Arial"/>
    </x:font>
    <x:font>
      <x:i/>
      <x:sz val="10"/>
      <x:color rgb="FF64748B"/>
      <x:name val="Arial"/>
    </x:font>
    <x:font>
      <x:b/>
      <x:sz val="9"/>
      <x:color rgb="FF2563EB"/>
      <x:name val="Arial"/>
    </x:font>
    <x:font>
      <x:b/>
      <x:sz val="15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47857"/>
      </x:patternFill>
    </x:fill>
    <x:fill>
      <x:patternFill patternType="solid">
        <x:fgColor rgb="FFEFF6FF"/>
      </x:patternFill>
    </x:fill>
  </x:fills>
  <x:borders count="2">
    <x:border/>
    <x:border>
      <x:bottom style="thin">
        <x:color rgb="FFE5E7EB"/>
      </x:bottom>
    </x:border>
  </x:borders>
  <x:cellStyleXfs count="1">
    <x:xf numFmtId="0" fontId="0" fillId="0" borderId="0"/>
  </x:cellStyleXfs>
  <x:cellXfs count="3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203" fontId="0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/>
    <x:xf numFmtId="0" fontId="6" fillId="3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4" fontId="3" fillId="0" borderId="0" xfId="0" applyNumberFormat="1" applyFont="1" applyFill="1" applyBorder="1"/>
    <x:xf numFmtId="204" fontId="7" fillId="0" borderId="0" xfId="0" applyNumberFormat="1" applyFont="1" applyFill="1" applyBorder="1"/>
    <x:xf numFmtId="203" fontId="3" fillId="0" borderId="0" xfId="0" applyNumberFormat="1" applyFont="1" applyFill="1" applyBorder="1"/>
    <x:xf numFmtId="203" fontId="7" fillId="0" borderId="0" xfId="0" applyNumberFormat="1" applyFont="1" applyFill="1" applyBorder="1"/>
  </x:cellXfs>
  <x:cellStyles count="1">
    <x:cellStyle name="Normal" xfId="0"/>
  </x:cellStyles>
  <x:dxfs count="2">
    <x:dxf>
      <x:font>
        <x:color rgb="FF047857"/>
      </x:font>
      <x:fill>
        <x:patternFill patternType="solid">
          <x:bgColor rgb="FFECFDF5"/>
        </x:patternFill>
      </x:fill>
    </x:dxf>
    <x:dxf>
      <x:fill>
        <x:patternFill patternType="solid">
          <x:bgColor rgb="FFFFFB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614c65e624bc7" /><Relationship Type="http://schemas.openxmlformats.org/officeDocument/2006/relationships/theme" Target="/xl/theme/theme1.xml" Id="R70eb606e84c44cdf" /><Relationship Type="http://schemas.openxmlformats.org/officeDocument/2006/relationships/sharedStrings" Target="/xl/sharedStrings.xml" Id="Rbb9504ab5dbc4eca" /><Relationship Type="http://schemas.openxmlformats.org/officeDocument/2006/relationships/worksheet" Target="/xl/worksheets/sheet1.xml" Id="Rce80a86529b14f73" /><Relationship Type="http://schemas.openxmlformats.org/officeDocument/2006/relationships/worksheet" Target="/xl/worksheets/sheet2.xml" Id="R0d0061a7a8994c61" /><Relationship Type="http://schemas.openxmlformats.org/officeDocument/2006/relationships/worksheet" Target="/xl/worksheets/sheet3.xml" Id="R4c61aacb4256436b" /><Relationship Type="http://schemas.openxmlformats.org/officeDocument/2006/relationships/worksheet" Target="/xl/worksheets/sheet4.xml" Id="Rb0b79f83acab432b" /><Relationship Type="http://schemas.openxmlformats.org/officeDocument/2006/relationships/worksheet" Target="/xl/worksheets/sheet5.xml" Id="R35f37150a19d4f69" /><Relationship Type="http://schemas.openxmlformats.org/officeDocument/2006/relationships/worksheet" Target="/xl/worksheets/sheet6.xml" Id="R3213f183906b40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4759a569344709" /><Relationship Type="http://schemas.openxmlformats.org/officeDocument/2006/relationships/chart" Target="/xl/drawings/charts/chart2.xml" Id="R9bc0f548c6e2487d" /><Relationship Type="http://schemas.openxmlformats.org/officeDocument/2006/relationships/chart" Target="/xl/drawings/charts/chart3.xml" Id="R0d822061e51243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Daily cost (TWD)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Cost (TWD)</c:v>
          </c:tx>
          <c:marker>
            <c:symbol val="none"/>
          </c:marker>
          <c:cat>
            <c:strRef>
              <c:f>'Chart Data'!$A$2:$A$15</c:f>
              <c:strCache>
                <c:ptCount val="0"/>
              </c:strCache>
            </c:strRef>
          </c:cat>
          <c:val>
            <c:numRef>
              <c:f>'Chart Data'!$B$2:$B$15</c:f>
              <c:numCache>
                <c:formatCode>"NT$"#,##0.00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NT$&quot;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Daily energy (kWh)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Energy (kWh)</c:v>
          </c:tx>
          <c:marker>
            <c:symbol val="none"/>
          </c:marker>
          <c:cat>
            <c:strRef>
              <c:f>'Chart Data'!$A$2:$A$15</c:f>
              <c:strCache>
                <c:ptCount val="0"/>
              </c:strCache>
            </c:strRef>
          </c:cat>
          <c:val>
            <c:numRef>
              <c:f>'Chart Data'!$C$2:$C$15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Intraday interval energy (kWh)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Interval energy (kWh)</c:v>
          </c:tx>
          <c:cat>
            <c:strRef>
              <c:f>'Chart Data'!$E$2:$E$11</c:f>
              <c:strCache>
                <c:ptCount val="0"/>
              </c:strCache>
            </c:strRef>
          </c:cat>
          <c:val>
            <c:numRef>
              <c:f>'Chart Data'!$F$2:$F$11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4759a569344709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c0f548c6e2487d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822061e51243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Observations" displayName="DailyObservations" ref="A1:H15" headerRowCount="1" totalsRowCount="0" totalsRowShown="0">
  <x:tableColumns count="8">
    <x:tableColumn id="1" name="Observation date"/>
    <x:tableColumn id="2" name="Subject"/>
    <x:tableColumn id="3" name="Cost (TWD)"/>
    <x:tableColumn id="4" name="Energy (kWh)"/>
    <x:tableColumn id="5" name="Rate (TWD/kWh)"/>
    <x:tableColumn id="6" name="Run ID"/>
    <x:tableColumn id="7" name="Status"/>
    <x:tableColumn id="8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urlyObservations" displayName="HourlyObservations" ref="A1:H11" headerRowCount="1" totalsRowCount="0" totalsRowShown="0">
  <x:tableColumns count="8">
    <x:tableColumn id="1" name="Snapshot time"/>
    <x:tableColumn id="2" name="Subject"/>
    <x:tableColumn id="3" name="Cumulative cost (TWD)"/>
    <x:tableColumn id="4" name="Cumulative energy (kWh)"/>
    <x:tableColumn id="5" name="Interval cost (TWD)"/>
    <x:tableColumn id="6" name="Interval energy (kWh)"/>
    <x:tableColumn id="7" name="Run ID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Audit" displayName="RunAudit" ref="A1:E17" headerRowCount="1" totalsRowCount="0" totalsRowShown="0">
  <x:tableColumns count="5">
    <x:tableColumn id="1" name="Run ID"/>
    <x:tableColumn id="2" name="Started at"/>
    <x:tableColumn id="3" name="Status"/>
    <x:tableColumn id="4" name="Error"/>
    <x:tableColumn id="5" name="Evidence pat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" displayName="DataDictionary" ref="A1:D11" headerRowCount="1" totalsRowCount="0" totalsRowShown="0">
  <x:tableColumns count="4">
    <x:tableColumn id="1" name="Field"/>
    <x:tableColumn id="2" name="Definition"/>
    <x:tableColumn id="3" name="Type"/>
    <x:tableColumn id="4" name="Validation or 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4d5246a94b4d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778e51272543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ddd72e529547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96c501e5cb4c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0f5bc9161342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18" hidden="0" customWidth="1"/>
    <x:col min="4" max="4" width="8" hidden="0" customWidth="1"/>
    <x:col min="5" max="5" width="18" hidden="0" customWidth="1"/>
    <x:col min="6" max="6" width="8" hidden="0" customWidth="1"/>
    <x:col min="7" max="7" width="18" hidden="0" customWidth="1"/>
    <x:col min="8" max="8" width="8" hidden="0" customWidth="1"/>
  </x:cols>
  <x:sheetData>
    <x:row r="1">
      <x:c r="A1" s="18" t="str">
        <x:v>Synthetic energy collection</x:v>
      </x:c>
      <x:c r="B1" s="17"/>
      <x:c r="C1" s="17"/>
      <x:c r="D1" s="17"/>
      <x:c r="E1" s="17"/>
      <x:c r="F1" s="17"/>
      <x:c r="G1" s="17"/>
      <x:c r="H1" s="17"/>
    </x:row>
    <x:row r="2">
      <x:c r="A2" s="19" t="str">
        <x:v>Reference output from an unattended Android collection pipeline · fictional data</x:v>
      </x:c>
      <x:c r="B2" s="17"/>
      <x:c r="C2" s="17"/>
      <x:c r="D2" s="17"/>
      <x:c r="E2" s="17"/>
      <x:c r="F2" s="17"/>
      <x:c r="G2" s="17"/>
      <x:c r="H2" s="17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17"/>
      <x:c r="B4" s="17"/>
      <x:c r="C4" s="17"/>
      <x:c r="D4" s="17"/>
      <x:c r="E4" s="17"/>
      <x:c r="F4" s="17"/>
      <x:c r="G4" s="17"/>
      <x:c r="H4" s="17"/>
    </x:row>
    <x:row r="5" ht="24" customHeight="1">
      <x:c r="A5" s="22" t="str">
        <x:v>Latest date</x:v>
      </x:c>
      <x:c r="B5" s="22" t="str"/>
      <x:c r="C5" s="22" t="str">
        <x:v>Latest cost</x:v>
      </x:c>
      <x:c r="D5" s="22" t="str"/>
      <x:c r="E5" s="22" t="str">
        <x:v>Latest energy</x:v>
      </x:c>
      <x:c r="F5" s="22" t="str"/>
      <x:c r="G5" s="22" t="str">
        <x:v>Unit rate</x:v>
      </x:c>
      <x:c r="H5" s="22" t="str"/>
    </x:row>
    <x:row r="6" ht="32" customHeight="1">
      <x:c r="A6" s="26" t="n">
        <x:f>'Daily Data'!A15</x:f>
        <x:v>46036</x:v>
      </x:c>
      <x:c r="B6" s="27"/>
      <x:c r="C6" s="28" t="n">
        <x:f>'Daily Data'!C15</x:f>
        <x:v>59</x:v>
      </x:c>
      <x:c r="D6" s="27"/>
      <x:c r="E6" s="29" t="n">
        <x:f>'Daily Data'!D15</x:f>
        <x:v>11.8</x:v>
      </x:c>
      <x:c r="F6" s="29"/>
      <x:c r="G6" s="29" t="n">
        <x:f>'Daily Data'!E15</x:f>
        <x:v>5</x:v>
      </x:c>
      <x:c r="H6" s="27"/>
    </x:row>
    <x:row r="7" ht="24" customHeight="1">
      <x:c r="A7" s="17"/>
      <x:c r="B7" s="17"/>
      <x:c r="C7" s="17"/>
      <x:c r="D7" s="17"/>
      <x:c r="E7" s="17"/>
      <x:c r="F7" s="17"/>
      <x:c r="G7" s="17"/>
      <x:c r="H7" s="17"/>
    </x:row>
    <x:row r="8" ht="24" customHeight="1">
      <x:c r="A8" s="22" t="str">
        <x:v>Average daily cost</x:v>
      </x:c>
      <x:c r="B8" s="22" t="str"/>
      <x:c r="C8" s="22" t="str">
        <x:v>Average daily energy</x:v>
      </x:c>
      <x:c r="D8" s="22" t="str"/>
      <x:c r="E8" s="22" t="str">
        <x:v>Run success rate</x:v>
      </x:c>
      <x:c r="F8" s="22" t="str"/>
      <x:c r="G8" s="22" t="str">
        <x:v>Data completeness</x:v>
      </x:c>
      <x:c r="H8" s="22" t="str"/>
    </x:row>
    <x:row r="9" ht="24" customHeight="1">
      <x:c r="A9" s="28" t="n">
        <x:f>AVERAGE('Daily Data'!C2:C15)</x:f>
        <x:v>53.07142857142857</x:v>
      </x:c>
      <x:c r="B9" s="27"/>
      <x:c r="C9" s="29" t="n">
        <x:f>AVERAGE('Daily Data'!D2:D15)</x:f>
        <x:v>10.614285714285714</x:v>
      </x:c>
      <x:c r="D9" s="27"/>
      <x:c r="E9" s="31" t="n">
        <x:f>COUNTIF('Run Audit'!C2:C17,"SUCCESS")/COUNTA('Run Audit'!C2:C17)</x:f>
        <x:v>0.875</x:v>
      </x:c>
      <x:c r="F9" s="31"/>
      <x:c r="G9" s="31" t="n">
        <x:f>COUNTA('Daily Data'!A2:A15)/14</x:f>
        <x:v>1</x:v>
      </x:c>
      <x:c r="H9" s="27"/>
    </x:row>
    <x:row r="10">
      <x:c r="A10" s="17"/>
      <x:c r="B10" s="17"/>
      <x:c r="C10" s="17"/>
      <x:c r="D10" s="17"/>
      <x:c r="E10" s="17"/>
      <x:c r="F10" s="17"/>
      <x:c r="G10" s="17"/>
      <x:c r="H10" s="17"/>
    </x:row>
    <x:row r="11">
      <x:c r="A11" s="17"/>
      <x:c r="B11" s="17"/>
      <x:c r="C11" s="17"/>
      <x:c r="D11" s="17"/>
      <x:c r="E11" s="17"/>
      <x:c r="F11" s="17"/>
      <x:c r="G11" s="17"/>
      <x:c r="H11" s="17"/>
    </x:row>
    <x:row r="12">
      <x:c r="A12" s="17"/>
      <x:c r="B12" s="17"/>
      <x:c r="C12" s="17"/>
      <x:c r="D12" s="17"/>
      <x:c r="E12" s="17"/>
      <x:c r="F12" s="17"/>
      <x:c r="G12" s="17"/>
      <x:c r="H12" s="17"/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 ht="26" customHeight="1">
      <x:c r="A27" s="22" t="str">
        <x:v>Latest intraday snapshot</x:v>
      </x:c>
      <x:c r="B27" s="22" t="str"/>
      <x:c r="C27" s="22" t="str">
        <x:v>Cumulative cost</x:v>
      </x:c>
      <x:c r="D27" s="22" t="str"/>
      <x:c r="E27" s="22" t="str">
        <x:v>Cumulative energy</x:v>
      </x:c>
      <x:c r="F27" s="22" t="str"/>
      <x:c r="G27" s="22" t="str">
        <x:v>Last interval energy</x:v>
      </x:c>
      <x:c r="H27" s="22" t="str"/>
    </x:row>
    <x:row r="28" ht="26" customHeight="1">
      <x:c r="A28" s="33" t="n">
        <x:f>'Hourly Data'!A11</x:f>
        <x:v>46036.416666666664</x:v>
      </x:c>
      <x:c r="B28" s="27"/>
      <x:c r="C28" s="28" t="n">
        <x:f>'Hourly Data'!C11</x:f>
        <x:v>48.5</x:v>
      </x:c>
      <x:c r="D28" s="27"/>
      <x:c r="E28" s="29" t="n">
        <x:f>'Hourly Data'!D11</x:f>
        <x:v>9.7</x:v>
      </x:c>
      <x:c r="F28" s="29"/>
      <x:c r="G28" s="29" t="n">
        <x:f>'Hourly Data'!F11</x:f>
        <x:v>1.1999999999999993</x:v>
      </x:c>
      <x:c r="H28" s="2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  <x:row r="31">
      <x:c r="A31" s="17"/>
      <x:c r="B31" s="17"/>
      <x:c r="C31" s="17"/>
      <x:c r="D31" s="17"/>
      <x:c r="E31" s="17"/>
      <x:c r="F31" s="17"/>
      <x:c r="G31" s="17"/>
      <x:c r="H31" s="17"/>
    </x:row>
    <x:row r="32">
      <x:c r="A32" s="17"/>
      <x:c r="B32" s="17"/>
      <x:c r="C32" s="17"/>
      <x:c r="D32" s="17"/>
      <x:c r="E32" s="17"/>
      <x:c r="F32" s="17"/>
      <x:c r="G32" s="17"/>
      <x:c r="H32" s="17"/>
    </x:row>
    <x:row r="33">
      <x:c r="A33" s="17"/>
      <x:c r="B33" s="17"/>
      <x:c r="C33" s="17"/>
      <x:c r="D33" s="17"/>
      <x:c r="E33" s="17"/>
      <x:c r="F33" s="17"/>
      <x:c r="G33" s="17"/>
      <x:c r="H33" s="17"/>
    </x:row>
    <x:row r="34">
      <x:c r="A34" s="17"/>
      <x:c r="B34" s="17"/>
      <x:c r="C34" s="17"/>
      <x:c r="D34" s="17"/>
      <x:c r="E34" s="17"/>
      <x:c r="F34" s="17"/>
      <x:c r="G34" s="17"/>
      <x:c r="H34" s="17"/>
    </x:row>
    <x:row r="35">
      <x:c r="A35" s="17"/>
      <x:c r="B35" s="17"/>
      <x:c r="C35" s="17"/>
      <x:c r="D35" s="17"/>
      <x:c r="E35" s="17"/>
      <x:c r="F35" s="17"/>
      <x:c r="G35" s="17"/>
      <x:c r="H35" s="17"/>
    </x:row>
    <x:row r="36">
      <x:c r="A36" s="17"/>
      <x:c r="B36" s="17"/>
      <x:c r="C36" s="17"/>
      <x:c r="D36" s="17"/>
      <x:c r="E36" s="17"/>
      <x:c r="F36" s="17"/>
      <x:c r="G36" s="17"/>
      <x:c r="H36" s="17"/>
    </x:row>
    <x:row r="37">
      <x:c r="A37" s="17"/>
      <x:c r="B37" s="17"/>
      <x:c r="C37" s="17"/>
      <x:c r="D37" s="17"/>
      <x:c r="E37" s="17"/>
      <x:c r="F37" s="17"/>
      <x:c r="G37" s="17"/>
      <x:c r="H37" s="17"/>
    </x:row>
    <x:row r="38">
      <x:c r="A38" s="17"/>
      <x:c r="B38" s="17"/>
      <x:c r="C38" s="17"/>
      <x:c r="D38" s="17"/>
      <x:c r="E38" s="17"/>
      <x:c r="F38" s="17"/>
      <x:c r="G38" s="17"/>
      <x:c r="H38" s="17"/>
    </x:row>
    <x:row r="39">
      <x:c r="A39" s="17"/>
      <x:c r="B39" s="17"/>
      <x:c r="C39" s="17"/>
      <x:c r="D39" s="17"/>
      <x:c r="E39" s="17"/>
      <x:c r="F39" s="17"/>
      <x:c r="G39" s="17"/>
      <x:c r="H39" s="17"/>
    </x:row>
    <x:row r="40">
      <x:c r="A40" s="17"/>
      <x:c r="B40" s="17"/>
      <x:c r="C40" s="17"/>
      <x:c r="D40" s="17"/>
      <x:c r="E40" s="17"/>
      <x:c r="F40" s="17"/>
      <x:c r="G40" s="17"/>
      <x:c r="H40" s="17"/>
    </x:row>
  </x:sheetData>
  <x:pageMargins left="0.7" right="0.7" top="0.75" bottom="0.75" header="0.3" footer="0.3"/>
  <x:drawing xmlns:r="http://schemas.openxmlformats.org/officeDocument/2006/relationships" r:id="R364d5246a94b4df4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8" hidden="0" customWidth="1"/>
    <x:col min="7" max="7" width="14" hidden="0" customWidth="1"/>
    <x:col min="8" max="8" width="20" hidden="0" customWidth="1"/>
  </x:cols>
  <x:sheetData>
    <x:row r="1">
      <x:c r="A1" s="9" t="str">
        <x:v>Observation date</x:v>
      </x:c>
      <x:c r="B1" s="9" t="str">
        <x:v>Subject</x:v>
      </x:c>
      <x:c r="C1" s="9" t="str">
        <x:v>Cost (TWD)</x:v>
      </x:c>
      <x:c r="D1" s="9" t="str">
        <x:v>Energy (kWh)</x:v>
      </x:c>
      <x:c r="E1" s="9" t="str">
        <x:v>Rate (TWD/kWh)</x:v>
      </x:c>
      <x:c r="F1" s="9" t="str">
        <x:v>Run ID</x:v>
      </x:c>
      <x:c r="G1" s="9" t="str">
        <x:v>Status</x:v>
      </x:c>
      <x:c r="H1" s="9" t="str">
        <x:v>Source</x:v>
      </x:c>
    </x:row>
    <x:row r="2">
      <x:c r="A2" s="5" t="n">
        <x:v>46023</x:v>
      </x:c>
      <x:c r="B2" s="4" t="str">
        <x:v>demo-unit</x:v>
      </x:c>
      <x:c r="C2" s="6" t="n">
        <x:v>42</x:v>
      </x:c>
      <x:c r="D2" s="7" t="n">
        <x:v>8.4</x:v>
      </x:c>
      <x:c r="E2" s="7" t="n">
        <x:v>5</x:v>
      </x:c>
      <x:c r="F2" s="4" t="str">
        <x:v>demo-run-01</x:v>
      </x:c>
      <x:c r="G2" s="4" t="str">
        <x:v>VALIDATED</x:v>
      </x:c>
      <x:c r="H2" s="4" t="str">
        <x:v>Synthetic fixture</x:v>
      </x:c>
    </x:row>
    <x:row r="3">
      <x:c r="A3" s="5" t="n">
        <x:v>46024</x:v>
      </x:c>
      <x:c r="B3" s="4" t="str">
        <x:v>demo-unit</x:v>
      </x:c>
      <x:c r="C3" s="6" t="n">
        <x:v>45.5</x:v>
      </x:c>
      <x:c r="D3" s="7" t="n">
        <x:v>9.1</x:v>
      </x:c>
      <x:c r="E3" s="7" t="n">
        <x:v>5</x:v>
      </x:c>
      <x:c r="F3" s="4" t="str">
        <x:v>demo-run-02</x:v>
      </x:c>
      <x:c r="G3" s="4" t="str">
        <x:v>VALIDATED</x:v>
      </x:c>
      <x:c r="H3" s="4" t="str">
        <x:v>Synthetic fixture</x:v>
      </x:c>
    </x:row>
    <x:row r="4">
      <x:c r="A4" s="5" t="n">
        <x:v>46025</x:v>
      </x:c>
      <x:c r="B4" s="4" t="str">
        <x:v>demo-unit</x:v>
      </x:c>
      <x:c r="C4" s="6" t="n">
        <x:v>44.5</x:v>
      </x:c>
      <x:c r="D4" s="7" t="n">
        <x:v>8.9</x:v>
      </x:c>
      <x:c r="E4" s="7" t="n">
        <x:v>5</x:v>
      </x:c>
      <x:c r="F4" s="4" t="str">
        <x:v>demo-run-03</x:v>
      </x:c>
      <x:c r="G4" s="4" t="str">
        <x:v>VALIDATED</x:v>
      </x:c>
      <x:c r="H4" s="4" t="str">
        <x:v>Synthetic fixture</x:v>
      </x:c>
    </x:row>
    <x:row r="5">
      <x:c r="A5" s="5" t="n">
        <x:v>46026</x:v>
      </x:c>
      <x:c r="B5" s="4" t="str">
        <x:v>demo-unit</x:v>
      </x:c>
      <x:c r="C5" s="6" t="n">
        <x:v>51</x:v>
      </x:c>
      <x:c r="D5" s="7" t="n">
        <x:v>10.2</x:v>
      </x:c>
      <x:c r="E5" s="7" t="n">
        <x:v>5</x:v>
      </x:c>
      <x:c r="F5" s="4" t="str">
        <x:v>demo-run-04</x:v>
      </x:c>
      <x:c r="G5" s="4" t="str">
        <x:v>VALIDATED</x:v>
      </x:c>
      <x:c r="H5" s="4" t="str">
        <x:v>Synthetic fixture</x:v>
      </x:c>
    </x:row>
    <x:row r="6">
      <x:c r="A6" s="5" t="n">
        <x:v>46027</x:v>
      </x:c>
      <x:c r="B6" s="4" t="str">
        <x:v>demo-unit</x:v>
      </x:c>
      <x:c r="C6" s="6" t="n">
        <x:v>55</x:v>
      </x:c>
      <x:c r="D6" s="7" t="n">
        <x:v>11</x:v>
      </x:c>
      <x:c r="E6" s="7" t="n">
        <x:v>5</x:v>
      </x:c>
      <x:c r="F6" s="4" t="str">
        <x:v>demo-run-05</x:v>
      </x:c>
      <x:c r="G6" s="4" t="str">
        <x:v>VALIDATED</x:v>
      </x:c>
      <x:c r="H6" s="4" t="str">
        <x:v>Synthetic fixture</x:v>
      </x:c>
    </x:row>
    <x:row r="7">
      <x:c r="A7" s="5" t="n">
        <x:v>46028</x:v>
      </x:c>
      <x:c r="B7" s="4" t="str">
        <x:v>demo-unit</x:v>
      </x:c>
      <x:c r="C7" s="6" t="n">
        <x:v>49</x:v>
      </x:c>
      <x:c r="D7" s="7" t="n">
        <x:v>9.8</x:v>
      </x:c>
      <x:c r="E7" s="7" t="n">
        <x:v>5</x:v>
      </x:c>
      <x:c r="F7" s="4" t="str">
        <x:v>demo-run-06</x:v>
      </x:c>
      <x:c r="G7" s="4" t="str">
        <x:v>VALIDATED</x:v>
      </x:c>
      <x:c r="H7" s="4" t="str">
        <x:v>Synthetic fixture</x:v>
      </x:c>
    </x:row>
    <x:row r="8">
      <x:c r="A8" s="5" t="n">
        <x:v>46029</x:v>
      </x:c>
      <x:c r="B8" s="4" t="str">
        <x:v>demo-unit</x:v>
      </x:c>
      <x:c r="C8" s="6" t="n">
        <x:v>53</x:v>
      </x:c>
      <x:c r="D8" s="7" t="n">
        <x:v>10.6</x:v>
      </x:c>
      <x:c r="E8" s="7" t="n">
        <x:v>5</x:v>
      </x:c>
      <x:c r="F8" s="4" t="str">
        <x:v>demo-run-07</x:v>
      </x:c>
      <x:c r="G8" s="4" t="str">
        <x:v>VALIDATED</x:v>
      </x:c>
      <x:c r="H8" s="4" t="str">
        <x:v>Synthetic fixture</x:v>
      </x:c>
    </x:row>
    <x:row r="9">
      <x:c r="A9" s="5" t="n">
        <x:v>46030</x:v>
      </x:c>
      <x:c r="B9" s="4" t="str">
        <x:v>demo-unit</x:v>
      </x:c>
      <x:c r="C9" s="6" t="n">
        <x:v>56.5</x:v>
      </x:c>
      <x:c r="D9" s="7" t="n">
        <x:v>11.3</x:v>
      </x:c>
      <x:c r="E9" s="7" t="n">
        <x:v>5</x:v>
      </x:c>
      <x:c r="F9" s="4" t="str">
        <x:v>demo-run-08</x:v>
      </x:c>
      <x:c r="G9" s="4" t="str">
        <x:v>VALIDATED</x:v>
      </x:c>
      <x:c r="H9" s="4" t="str">
        <x:v>Synthetic fixture</x:v>
      </x:c>
    </x:row>
    <x:row r="10">
      <x:c r="A10" s="5" t="n">
        <x:v>46031</x:v>
      </x:c>
      <x:c r="B10" s="4" t="str">
        <x:v>demo-unit</x:v>
      </x:c>
      <x:c r="C10" s="6" t="n">
        <x:v>53.5</x:v>
      </x:c>
      <x:c r="D10" s="7" t="n">
        <x:v>10.7</x:v>
      </x:c>
      <x:c r="E10" s="7" t="n">
        <x:v>5</x:v>
      </x:c>
      <x:c r="F10" s="4" t="str">
        <x:v>demo-run-09</x:v>
      </x:c>
      <x:c r="G10" s="4" t="str">
        <x:v>VALIDATED</x:v>
      </x:c>
      <x:c r="H10" s="4" t="str">
        <x:v>Synthetic fixture</x:v>
      </x:c>
    </x:row>
    <x:row r="11">
      <x:c r="A11" s="5" t="n">
        <x:v>46032</x:v>
      </x:c>
      <x:c r="B11" s="4" t="str">
        <x:v>demo-unit</x:v>
      </x:c>
      <x:c r="C11" s="6" t="n">
        <x:v>60</x:v>
      </x:c>
      <x:c r="D11" s="7" t="n">
        <x:v>12</x:v>
      </x:c>
      <x:c r="E11" s="7" t="n">
        <x:v>5</x:v>
      </x:c>
      <x:c r="F11" s="4" t="str">
        <x:v>demo-run-10</x:v>
      </x:c>
      <x:c r="G11" s="4" t="str">
        <x:v>VALIDATED</x:v>
      </x:c>
      <x:c r="H11" s="4" t="str">
        <x:v>Synthetic fixture</x:v>
      </x:c>
    </x:row>
    <x:row r="12">
      <x:c r="A12" s="5" t="n">
        <x:v>46033</x:v>
      </x:c>
      <x:c r="B12" s="4" t="str">
        <x:v>demo-unit</x:v>
      </x:c>
      <x:c r="C12" s="6" t="n">
        <x:v>57.5</x:v>
      </x:c>
      <x:c r="D12" s="7" t="n">
        <x:v>11.5</x:v>
      </x:c>
      <x:c r="E12" s="7" t="n">
        <x:v>5</x:v>
      </x:c>
      <x:c r="F12" s="4" t="str">
        <x:v>demo-run-11</x:v>
      </x:c>
      <x:c r="G12" s="4" t="str">
        <x:v>VALIDATED</x:v>
      </x:c>
      <x:c r="H12" s="4" t="str">
        <x:v>Synthetic fixture</x:v>
      </x:c>
    </x:row>
    <x:row r="13">
      <x:c r="A13" s="5" t="n">
        <x:v>46034</x:v>
      </x:c>
      <x:c r="B13" s="4" t="str">
        <x:v>demo-unit</x:v>
      </x:c>
      <x:c r="C13" s="6" t="n">
        <x:v>54.5</x:v>
      </x:c>
      <x:c r="D13" s="7" t="n">
        <x:v>10.9</x:v>
      </x:c>
      <x:c r="E13" s="7" t="n">
        <x:v>5</x:v>
      </x:c>
      <x:c r="F13" s="4" t="str">
        <x:v>demo-run-12</x:v>
      </x:c>
      <x:c r="G13" s="4" t="str">
        <x:v>VALIDATED</x:v>
      </x:c>
      <x:c r="H13" s="4" t="str">
        <x:v>Synthetic fixture</x:v>
      </x:c>
    </x:row>
    <x:row r="14">
      <x:c r="A14" s="5" t="n">
        <x:v>46035</x:v>
      </x:c>
      <x:c r="B14" s="4" t="str">
        <x:v>demo-unit</x:v>
      </x:c>
      <x:c r="C14" s="6" t="n">
        <x:v>62</x:v>
      </x:c>
      <x:c r="D14" s="7" t="n">
        <x:v>12.4</x:v>
      </x:c>
      <x:c r="E14" s="7" t="n">
        <x:v>5</x:v>
      </x:c>
      <x:c r="F14" s="4" t="str">
        <x:v>demo-run-13</x:v>
      </x:c>
      <x:c r="G14" s="4" t="str">
        <x:v>VALIDATED</x:v>
      </x:c>
      <x:c r="H14" s="4" t="str">
        <x:v>Synthetic fixture</x:v>
      </x:c>
    </x:row>
    <x:row r="15">
      <x:c r="A15" s="5" t="n">
        <x:v>46036</x:v>
      </x:c>
      <x:c r="B15" s="4" t="str">
        <x:v>demo-unit</x:v>
      </x:c>
      <x:c r="C15" s="6" t="n">
        <x:v>59</x:v>
      </x:c>
      <x:c r="D15" s="7" t="n">
        <x:v>11.8</x:v>
      </x:c>
      <x:c r="E15" s="7" t="n">
        <x:v>5</x:v>
      </x:c>
      <x:c r="F15" s="4" t="str">
        <x:v>demo-run-14</x:v>
      </x:c>
      <x:c r="G15" s="4" t="str">
        <x:v>VALIDATED</x:v>
      </x:c>
      <x:c r="H15" s="4" t="str">
        <x:v>Synthetic fixture</x:v>
      </x:c>
    </x:row>
  </x:sheetData>
  <x:pageMargins left="0.7" right="0.7" top="0.75" bottom="0.75" header="0.3" footer="0.3"/>
  <x:tableParts count="1">
    <x:tablePart xmlns:r="http://schemas.openxmlformats.org/officeDocument/2006/relationships" r:id="R21778e512725434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8" hidden="0" customWidth="1"/>
    <x:col min="8" max="8" width="14" hidden="0" customWidth="1"/>
  </x:cols>
  <x:sheetData>
    <x:row r="1">
      <x:c r="A1" s="9" t="str">
        <x:v>Snapshot time</x:v>
      </x:c>
      <x:c r="B1" s="9" t="str">
        <x:v>Subject</x:v>
      </x:c>
      <x:c r="C1" s="9" t="str">
        <x:v>Cumulative cost (TWD)</x:v>
      </x:c>
      <x:c r="D1" s="9" t="str">
        <x:v>Cumulative energy (kWh)</x:v>
      </x:c>
      <x:c r="E1" s="9" t="str">
        <x:v>Interval cost (TWD)</x:v>
      </x:c>
      <x:c r="F1" s="9" t="str">
        <x:v>Interval energy (kWh)</x:v>
      </x:c>
      <x:c r="G1" s="9" t="str">
        <x:v>Run ID</x:v>
      </x:c>
      <x:c r="H1" s="9" t="str">
        <x:v>Status</x:v>
      </x:c>
    </x:row>
    <x:row r="2">
      <x:c r="A2" s="11" t="n">
        <x:v>46036.041666666664</x:v>
      </x:c>
      <x:c r="B2" s="4" t="str">
        <x:v>demo-unit</x:v>
      </x:c>
      <x:c r="C2" s="6" t="n">
        <x:v>2</x:v>
      </x:c>
      <x:c r="D2" s="7" t="n">
        <x:v>0.4</x:v>
      </x:c>
      <x:c r="E2" s="6"/>
      <x:c r="F2" s="7"/>
      <x:c r="G2" s="4" t="str">
        <x:v>hour-run-01</x:v>
      </x:c>
      <x:c r="H2" s="4" t="str">
        <x:v>VALIDATED</x:v>
      </x:c>
    </x:row>
    <x:row r="3">
      <x:c r="A3" s="11" t="n">
        <x:v>46036.083333333336</x:v>
      </x:c>
      <x:c r="B3" s="4" t="str">
        <x:v>demo-unit</x:v>
      </x:c>
      <x:c r="C3" s="6" t="n">
        <x:v>5.5</x:v>
      </x:c>
      <x:c r="D3" s="7" t="n">
        <x:v>1.1</x:v>
      </x:c>
      <x:c r="E3" s="6" t="n">
        <x:f>C3-C2</x:f>
        <x:v>3.5</x:v>
      </x:c>
      <x:c r="F3" s="7" t="n">
        <x:f>D3-D2</x:f>
        <x:v>0.7000000000000001</x:v>
      </x:c>
      <x:c r="G3" s="4" t="str">
        <x:v>hour-run-02</x:v>
      </x:c>
      <x:c r="H3" s="4" t="str">
        <x:v>VALIDATED</x:v>
      </x:c>
    </x:row>
    <x:row r="4">
      <x:c r="A4" s="11" t="n">
        <x:v>46036.125</x:v>
      </x:c>
      <x:c r="B4" s="4" t="str">
        <x:v>demo-unit</x:v>
      </x:c>
      <x:c r="C4" s="6" t="n">
        <x:v>9.5</x:v>
      </x:c>
      <x:c r="D4" s="7" t="n">
        <x:v>1.9</x:v>
      </x:c>
      <x:c r="E4" s="6" t="n">
        <x:f>C4-C3</x:f>
        <x:v>4</x:v>
      </x:c>
      <x:c r="F4" s="7" t="n">
        <x:f>D4-D3</x:f>
        <x:v>0.7999999999999998</x:v>
      </x:c>
      <x:c r="G4" s="4" t="str">
        <x:v>hour-run-03</x:v>
      </x:c>
      <x:c r="H4" s="4" t="str">
        <x:v>VALIDATED</x:v>
      </x:c>
    </x:row>
    <x:row r="5">
      <x:c r="A5" s="11" t="n">
        <x:v>46036.166666666664</x:v>
      </x:c>
      <x:c r="B5" s="4" t="str">
        <x:v>demo-unit</x:v>
      </x:c>
      <x:c r="C5" s="6" t="n">
        <x:v>14</x:v>
      </x:c>
      <x:c r="D5" s="7" t="n">
        <x:v>2.8</x:v>
      </x:c>
      <x:c r="E5" s="6" t="n">
        <x:f>C5-C4</x:f>
        <x:v>4.5</x:v>
      </x:c>
      <x:c r="F5" s="7" t="n">
        <x:f>D5-D4</x:f>
        <x:v>0.8999999999999999</x:v>
      </x:c>
      <x:c r="G5" s="4" t="str">
        <x:v>hour-run-04</x:v>
      </x:c>
      <x:c r="H5" s="4" t="str">
        <x:v>VALIDATED</x:v>
      </x:c>
    </x:row>
    <x:row r="6">
      <x:c r="A6" s="11" t="n">
        <x:v>46036.208333333336</x:v>
      </x:c>
      <x:c r="B6" s="4" t="str">
        <x:v>demo-unit</x:v>
      </x:c>
      <x:c r="C6" s="6" t="n">
        <x:v>18.5</x:v>
      </x:c>
      <x:c r="D6" s="7" t="n">
        <x:v>3.7</x:v>
      </x:c>
      <x:c r="E6" s="6" t="n">
        <x:f>C6-C5</x:f>
        <x:v>4.5</x:v>
      </x:c>
      <x:c r="F6" s="7" t="n">
        <x:f>D6-D5</x:f>
        <x:v>0.9000000000000004</x:v>
      </x:c>
      <x:c r="G6" s="4" t="str">
        <x:v>hour-run-05</x:v>
      </x:c>
      <x:c r="H6" s="4" t="str">
        <x:v>VALIDATED</x:v>
      </x:c>
    </x:row>
    <x:row r="7">
      <x:c r="A7" s="11" t="n">
        <x:v>46036.25</x:v>
      </x:c>
      <x:c r="B7" s="4" t="str">
        <x:v>demo-unit</x:v>
      </x:c>
      <x:c r="C7" s="6" t="n">
        <x:v>24.5</x:v>
      </x:c>
      <x:c r="D7" s="7" t="n">
        <x:v>4.9</x:v>
      </x:c>
      <x:c r="E7" s="6" t="n">
        <x:f>C7-C6</x:f>
        <x:v>6</x:v>
      </x:c>
      <x:c r="F7" s="7" t="n">
        <x:f>D7-D6</x:f>
        <x:v>1.2000000000000002</x:v>
      </x:c>
      <x:c r="G7" s="4" t="str">
        <x:v>hour-run-06</x:v>
      </x:c>
      <x:c r="H7" s="4" t="str">
        <x:v>VALIDATED</x:v>
      </x:c>
    </x:row>
    <x:row r="8">
      <x:c r="A8" s="11" t="n">
        <x:v>46036.291666666664</x:v>
      </x:c>
      <x:c r="B8" s="4" t="str">
        <x:v>demo-unit</x:v>
      </x:c>
      <x:c r="C8" s="6" t="n">
        <x:v>31</x:v>
      </x:c>
      <x:c r="D8" s="7" t="n">
        <x:v>6.2</x:v>
      </x:c>
      <x:c r="E8" s="6" t="n">
        <x:f>C8-C7</x:f>
        <x:v>6.5</x:v>
      </x:c>
      <x:c r="F8" s="7" t="n">
        <x:f>D8-D7</x:f>
        <x:v>1.2999999999999998</x:v>
      </x:c>
      <x:c r="G8" s="4" t="str">
        <x:v>hour-run-07</x:v>
      </x:c>
      <x:c r="H8" s="4" t="str">
        <x:v>VALIDATED</x:v>
      </x:c>
    </x:row>
    <x:row r="9">
      <x:c r="A9" s="11" t="n">
        <x:v>46036.333333333336</x:v>
      </x:c>
      <x:c r="B9" s="4" t="str">
        <x:v>demo-unit</x:v>
      </x:c>
      <x:c r="C9" s="6" t="n">
        <x:v>37</x:v>
      </x:c>
      <x:c r="D9" s="7" t="n">
        <x:v>7.4</x:v>
      </x:c>
      <x:c r="E9" s="6" t="n">
        <x:f>C9-C8</x:f>
        <x:v>6</x:v>
      </x:c>
      <x:c r="F9" s="7" t="n">
        <x:f>D9-D8</x:f>
        <x:v>1.2000000000000002</x:v>
      </x:c>
      <x:c r="G9" s="4" t="str">
        <x:v>hour-run-08</x:v>
      </x:c>
      <x:c r="H9" s="4" t="str">
        <x:v>VALIDATED</x:v>
      </x:c>
    </x:row>
    <x:row r="10">
      <x:c r="A10" s="11" t="n">
        <x:v>46036.375</x:v>
      </x:c>
      <x:c r="B10" s="4" t="str">
        <x:v>demo-unit</x:v>
      </x:c>
      <x:c r="C10" s="6" t="n">
        <x:v>42.5</x:v>
      </x:c>
      <x:c r="D10" s="7" t="n">
        <x:v>8.5</x:v>
      </x:c>
      <x:c r="E10" s="6" t="n">
        <x:f>C10-C9</x:f>
        <x:v>5.5</x:v>
      </x:c>
      <x:c r="F10" s="7" t="n">
        <x:f>D10-D9</x:f>
        <x:v>1.0999999999999996</x:v>
      </x:c>
      <x:c r="G10" s="4" t="str">
        <x:v>hour-run-09</x:v>
      </x:c>
      <x:c r="H10" s="4" t="str">
        <x:v>VALIDATED</x:v>
      </x:c>
    </x:row>
    <x:row r="11">
      <x:c r="A11" s="11" t="n">
        <x:v>46036.416666666664</x:v>
      </x:c>
      <x:c r="B11" s="4" t="str">
        <x:v>demo-unit</x:v>
      </x:c>
      <x:c r="C11" s="6" t="n">
        <x:v>48.5</x:v>
      </x:c>
      <x:c r="D11" s="7" t="n">
        <x:v>9.7</x:v>
      </x:c>
      <x:c r="E11" s="6" t="n">
        <x:f>C11-C10</x:f>
        <x:v>6</x:v>
      </x:c>
      <x:c r="F11" s="7" t="n">
        <x:f>D11-D10</x:f>
        <x:v>1.1999999999999993</x:v>
      </x:c>
      <x:c r="G11" s="4" t="str">
        <x:v>hour-run-10</x:v>
      </x:c>
      <x:c r="H11" s="4" t="str">
        <x:v>VALIDATED</x:v>
      </x:c>
    </x:row>
  </x:sheetData>
  <x:pageMargins left="0.7" right="0.7" top="0.75" bottom="0.75" header="0.3" footer="0.3"/>
  <x:tableParts count="1">
    <x:tablePart xmlns:r="http://schemas.openxmlformats.org/officeDocument/2006/relationships" r:id="Rbaddd72e5295479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2" hidden="0" customWidth="1"/>
    <x:col min="4" max="4" width="36" hidden="0" customWidth="1"/>
    <x:col min="5" max="5" width="28" hidden="0" customWidth="1"/>
  </x:cols>
  <x:sheetData>
    <x:row r="1">
      <x:c r="A1" s="9" t="str">
        <x:v>Run ID</x:v>
      </x:c>
      <x:c r="B1" s="9" t="str">
        <x:v>Started at</x:v>
      </x:c>
      <x:c r="C1" s="9" t="str">
        <x:v>Status</x:v>
      </x:c>
      <x:c r="D1" s="9" t="str">
        <x:v>Error</x:v>
      </x:c>
      <x:c r="E1" s="9" t="str">
        <x:v>Evidence path</x:v>
      </x:c>
    </x:row>
    <x:row r="2">
      <x:c r="A2" s="4" t="str">
        <x:v>demo-run-01</x:v>
      </x:c>
      <x:c r="B2" s="11" t="n">
        <x:v>46023.5</x:v>
      </x:c>
      <x:c r="C2" s="4" t="str">
        <x:v>SUCCESS</x:v>
      </x:c>
      <x:c r="D2" s="4" t="str"/>
      <x:c r="E2" s="4" t="str">
        <x:v>evidence/2026-01-01</x:v>
      </x:c>
    </x:row>
    <x:row r="3">
      <x:c r="A3" s="4" t="str">
        <x:v>demo-run-02</x:v>
      </x:c>
      <x:c r="B3" s="11" t="n">
        <x:v>46024.5</x:v>
      </x:c>
      <x:c r="C3" s="4" t="str">
        <x:v>SUCCESS</x:v>
      </x:c>
      <x:c r="D3" s="4" t="str"/>
      <x:c r="E3" s="4" t="str">
        <x:v>evidence/2026-01-02</x:v>
      </x:c>
    </x:row>
    <x:row r="4">
      <x:c r="A4" s="4" t="str">
        <x:v>demo-run-03</x:v>
      </x:c>
      <x:c r="B4" s="11" t="n">
        <x:v>46025.5</x:v>
      </x:c>
      <x:c r="C4" s="4" t="str">
        <x:v>SUCCESS</x:v>
      </x:c>
      <x:c r="D4" s="4" t="str"/>
      <x:c r="E4" s="4" t="str">
        <x:v>evidence/2026-01-03</x:v>
      </x:c>
    </x:row>
    <x:row r="5">
      <x:c r="A5" s="4" t="str">
        <x:v>demo-run-04</x:v>
      </x:c>
      <x:c r="B5" s="11" t="n">
        <x:v>46026.5</x:v>
      </x:c>
      <x:c r="C5" s="4" t="str">
        <x:v>SUCCESS</x:v>
      </x:c>
      <x:c r="D5" s="4" t="str"/>
      <x:c r="E5" s="4" t="str">
        <x:v>evidence/2026-01-04</x:v>
      </x:c>
    </x:row>
    <x:row r="6">
      <x:c r="A6" s="4" t="str">
        <x:v>demo-run-05</x:v>
      </x:c>
      <x:c r="B6" s="11" t="n">
        <x:v>46027.5</x:v>
      </x:c>
      <x:c r="C6" s="4" t="str">
        <x:v>SUCCESS</x:v>
      </x:c>
      <x:c r="D6" s="4" t="str"/>
      <x:c r="E6" s="4" t="str">
        <x:v>evidence/2026-01-05</x:v>
      </x:c>
    </x:row>
    <x:row r="7">
      <x:c r="A7" s="4" t="str">
        <x:v>demo-run-rejected</x:v>
      </x:c>
      <x:c r="B7" s="11" t="n">
        <x:v>46028.458333333336</x:v>
      </x:c>
      <x:c r="C7" s="4" t="str">
        <x:v>REJECTED</x:v>
      </x:c>
      <x:c r="D7" s="4" t="str">
        <x:v>Cross-metric reconciliation failed</x:v>
      </x:c>
      <x:c r="E7" s="4" t="str">
        <x:v>evidence/rejected</x:v>
      </x:c>
    </x:row>
    <x:row r="8">
      <x:c r="A8" s="4" t="str">
        <x:v>demo-run-06</x:v>
      </x:c>
      <x:c r="B8" s="11" t="n">
        <x:v>46028.5</x:v>
      </x:c>
      <x:c r="C8" s="4" t="str">
        <x:v>SUCCESS</x:v>
      </x:c>
      <x:c r="D8" s="4" t="str"/>
      <x:c r="E8" s="4" t="str">
        <x:v>evidence/2026-01-06</x:v>
      </x:c>
    </x:row>
    <x:row r="9">
      <x:c r="A9" s="4" t="str">
        <x:v>demo-run-07</x:v>
      </x:c>
      <x:c r="B9" s="11" t="n">
        <x:v>46029.5</x:v>
      </x:c>
      <x:c r="C9" s="4" t="str">
        <x:v>SUCCESS</x:v>
      </x:c>
      <x:c r="D9" s="4" t="str"/>
      <x:c r="E9" s="4" t="str">
        <x:v>evidence/2026-01-07</x:v>
      </x:c>
    </x:row>
    <x:row r="10">
      <x:c r="A10" s="4" t="str">
        <x:v>demo-run-08</x:v>
      </x:c>
      <x:c r="B10" s="11" t="n">
        <x:v>46030.5</x:v>
      </x:c>
      <x:c r="C10" s="4" t="str">
        <x:v>SUCCESS</x:v>
      </x:c>
      <x:c r="D10" s="4" t="str"/>
      <x:c r="E10" s="4" t="str">
        <x:v>evidence/2026-01-08</x:v>
      </x:c>
    </x:row>
    <x:row r="11">
      <x:c r="A11" s="4" t="str">
        <x:v>demo-run-09</x:v>
      </x:c>
      <x:c r="B11" s="11" t="n">
        <x:v>46031.5</x:v>
      </x:c>
      <x:c r="C11" s="4" t="str">
        <x:v>SUCCESS</x:v>
      </x:c>
      <x:c r="D11" s="4" t="str"/>
      <x:c r="E11" s="4" t="str">
        <x:v>evidence/2026-01-09</x:v>
      </x:c>
    </x:row>
    <x:row r="12">
      <x:c r="A12" s="4" t="str">
        <x:v>demo-run-failed</x:v>
      </x:c>
      <x:c r="B12" s="11" t="n">
        <x:v>46032.458333333336</x:v>
      </x:c>
      <x:c r="C12" s="4" t="str">
        <x:v>FAILED</x:v>
      </x:c>
      <x:c r="D12" s="4" t="str">
        <x:v>Simulated network timeout</x:v>
      </x:c>
      <x:c r="E12" s="4" t="str">
        <x:v>evidence/failed</x:v>
      </x:c>
    </x:row>
    <x:row r="13">
      <x:c r="A13" s="4" t="str">
        <x:v>demo-run-10</x:v>
      </x:c>
      <x:c r="B13" s="11" t="n">
        <x:v>46032.5</x:v>
      </x:c>
      <x:c r="C13" s="4" t="str">
        <x:v>SUCCESS</x:v>
      </x:c>
      <x:c r="D13" s="4" t="str"/>
      <x:c r="E13" s="4" t="str">
        <x:v>evidence/2026-01-10</x:v>
      </x:c>
    </x:row>
    <x:row r="14">
      <x:c r="A14" s="4" t="str">
        <x:v>demo-run-11</x:v>
      </x:c>
      <x:c r="B14" s="11" t="n">
        <x:v>46033.5</x:v>
      </x:c>
      <x:c r="C14" s="4" t="str">
        <x:v>SUCCESS</x:v>
      </x:c>
      <x:c r="D14" s="4" t="str"/>
      <x:c r="E14" s="4" t="str">
        <x:v>evidence/2026-01-11</x:v>
      </x:c>
    </x:row>
    <x:row r="15">
      <x:c r="A15" s="4" t="str">
        <x:v>demo-run-12</x:v>
      </x:c>
      <x:c r="B15" s="11" t="n">
        <x:v>46034.5</x:v>
      </x:c>
      <x:c r="C15" s="4" t="str">
        <x:v>SUCCESS</x:v>
      </x:c>
      <x:c r="D15" s="4" t="str"/>
      <x:c r="E15" s="4" t="str">
        <x:v>evidence/2026-01-12</x:v>
      </x:c>
    </x:row>
    <x:row r="16">
      <x:c r="A16" s="4" t="str">
        <x:v>demo-run-13</x:v>
      </x:c>
      <x:c r="B16" s="11" t="n">
        <x:v>46035.5</x:v>
      </x:c>
      <x:c r="C16" s="4" t="str">
        <x:v>SUCCESS</x:v>
      </x:c>
      <x:c r="D16" s="4" t="str"/>
      <x:c r="E16" s="4" t="str">
        <x:v>evidence/2026-01-13</x:v>
      </x:c>
    </x:row>
    <x:row r="17">
      <x:c r="A17" s="4" t="str">
        <x:v>demo-run-14</x:v>
      </x:c>
      <x:c r="B17" s="11" t="n">
        <x:v>46036.5</x:v>
      </x:c>
      <x:c r="C17" s="4" t="str">
        <x:v>SUCCESS</x:v>
      </x:c>
      <x:c r="D17" s="4" t="str"/>
      <x:c r="E17" s="4" t="str">
        <x:v>evidence/2026-01-14</x:v>
      </x:c>
    </x:row>
  </x:sheetData>
  <x:conditionalFormatting sqref="C2:C17">
    <x:cfRule type="containsText" dxfId="0" priority="1" operator="containsText" text="SUCCESS"/>
    <x:cfRule type="containsText" dxfId="1" priority="2" operator="containsText" text="REJECTED"/>
  </x:conditionalFormatting>
  <x:pageMargins left="0.7" right="0.7" top="0.75" bottom="0.75" header="0.3" footer="0.3"/>
  <x:tableParts count="1">
    <x:tablePart xmlns:r="http://schemas.openxmlformats.org/officeDocument/2006/relationships" r:id="R8196c501e5cb4c2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4" hidden="0" customWidth="1"/>
    <x:col min="4" max="4" width="52" hidden="0" customWidth="1"/>
  </x:cols>
  <x:sheetData>
    <x:row r="1">
      <x:c r="A1" s="13" t="str">
        <x:v>Field</x:v>
      </x:c>
      <x:c r="B1" s="13" t="str">
        <x:v>Definition</x:v>
      </x:c>
      <x:c r="C1" s="13" t="str">
        <x:v>Type</x:v>
      </x:c>
      <x:c r="D1" s="13" t="str">
        <x:v>Validation or provenance</x:v>
      </x:c>
    </x:row>
    <x:row r="2" ht="34" customHeight="1">
      <x:c r="A2" s="14" t="str">
        <x:v>observed_at</x:v>
      </x:c>
      <x:c r="B2" s="15" t="str">
        <x:v>Canonical observation timestamp</x:v>
      </x:c>
      <x:c r="C2" s="15" t="str">
        <x:v>datetime</x:v>
      </x:c>
      <x:c r="D2" s="15" t="str">
        <x:v>Timezone-aware and part of the unique identity</x:v>
      </x:c>
    </x:row>
    <x:row r="3" ht="34" customHeight="1">
      <x:c r="A3" s="14" t="str">
        <x:v>subject</x:v>
      </x:c>
      <x:c r="B3" s="15" t="str">
        <x:v>Synthetic asset or unit identifier</x:v>
      </x:c>
      <x:c r="C3" s="15" t="str">
        <x:v>text</x:v>
      </x:c>
      <x:c r="D3" s="15" t="str">
        <x:v>Required; no production identifier</x:v>
      </x:c>
    </x:row>
    <x:row r="4" ht="34" customHeight="1">
      <x:c r="A4" s="14" t="str">
        <x:v>cost</x:v>
      </x:c>
      <x:c r="B4" s="15" t="str">
        <x:v>Synthetic cost for the period</x:v>
      </x:c>
      <x:c r="C4" s="15" t="str">
        <x:v>number</x:v>
      </x:c>
      <x:c r="D4" s="15" t="str">
        <x:v>Range 0–25,000</x:v>
      </x:c>
    </x:row>
    <x:row r="5" ht="34" customHeight="1">
      <x:c r="A5" s="14" t="str">
        <x:v>energy</x:v>
      </x:c>
      <x:c r="B5" s="15" t="str">
        <x:v>Synthetic energy for the period</x:v>
      </x:c>
      <x:c r="C5" s="15" t="str">
        <x:v>number</x:v>
      </x:c>
      <x:c r="D5" s="15" t="str">
        <x:v>Range 0–500</x:v>
      </x:c>
    </x:row>
    <x:row r="6" ht="34" customHeight="1">
      <x:c r="A6" s="14" t="str">
        <x:v>rate</x:v>
      </x:c>
      <x:c r="B6" s="15" t="str">
        <x:v>Synthetic unit rate</x:v>
      </x:c>
      <x:c r="C6" s="15" t="str">
        <x:v>number</x:v>
      </x:c>
      <x:c r="D6" s="15" t="str">
        <x:v>Range 0.01–50</x:v>
      </x:c>
    </x:row>
    <x:row r="7" ht="34" customHeight="1">
      <x:c r="A7" s="14" t="str">
        <x:v>run_id</x:v>
      </x:c>
      <x:c r="B7" s="15" t="str">
        <x:v>Attempt-level trace identifier</x:v>
      </x:c>
      <x:c r="C7" s="15" t="str">
        <x:v>text</x:v>
      </x:c>
      <x:c r="D7" s="15" t="str">
        <x:v>Links observation to Run Audit</x:v>
      </x:c>
    </x:row>
    <x:row r="8" ht="34" customHeight="1">
      <x:c r="A8" s="14" t="str">
        <x:v>is_current</x:v>
      </x:c>
      <x:c r="B8" s="15" t="str">
        <x:v>Current validated version flag</x:v>
      </x:c>
      <x:c r="C8" s="15" t="str">
        <x:v>boolean</x:v>
      </x:c>
      <x:c r="D8" s="15" t="str">
        <x:v>Partial unique index allows one current version</x:v>
      </x:c>
    </x:row>
    <x:row r="9" ht="34" customHeight="1">
      <x:c r="A9" s="14" t="str">
        <x:v>interval energy</x:v>
      </x:c>
      <x:c r="B9" s="15" t="str">
        <x:v>Difference between adjacent cumulative snapshots</x:v>
      </x:c>
      <x:c r="C9" s="15" t="str">
        <x:v>formula</x:v>
      </x:c>
      <x:c r="D9" s="15" t="str">
        <x:v>Current cumulative energy minus prior snapshot</x:v>
      </x:c>
    </x:row>
    <x:row r="10" ht="34" customHeight="1">
      <x:c r="A10" s="14" t="str">
        <x:v>status</x:v>
      </x:c>
      <x:c r="B10" s="15" t="str">
        <x:v>Run or validation outcome</x:v>
      </x:c>
      <x:c r="C10" s="15" t="str">
        <x:v>category</x:v>
      </x:c>
      <x:c r="D10" s="15" t="str">
        <x:v>SUCCESS, REJECTED, or FAILED</x:v>
      </x:c>
    </x:row>
    <x:row r="11" ht="34" customHeight="1">
      <x:c r="A11" s="14" t="str">
        <x:v>source</x:v>
      </x:c>
      <x:c r="B11" s="15" t="str">
        <x:v>Origin of example data</x:v>
      </x:c>
      <x:c r="C11" s="15" t="str">
        <x:v>text</x:v>
      </x:c>
      <x:c r="D11" s="15" t="str">
        <x:v>All workbook data is synthetic</x:v>
      </x:c>
    </x:row>
  </x:sheetData>
  <x:pageMargins left="0.7" right="0.7" top="0.75" bottom="0.75" header="0.3" footer="0.3"/>
  <x:tableParts count="1">
    <x:tablePart xmlns:r="http://schemas.openxmlformats.org/officeDocument/2006/relationships" r:id="Re70f5bc91613423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4" hidden="0" customWidth="1"/>
    <x:col min="5" max="5" width="12" hidden="0" customWidth="1"/>
    <x:col min="6" max="6" width="22" hidden="0" customWidth="1"/>
  </x:cols>
  <x:sheetData>
    <x:row r="1">
      <x:c r="A1" s="9" t="str">
        <x:v>Date label</x:v>
      </x:c>
      <x:c r="B1" s="9" t="str">
        <x:v>Cost (TWD)</x:v>
      </x:c>
      <x:c r="C1" s="9" t="str">
        <x:v>Energy (kWh)</x:v>
      </x:c>
      <x:c r="E1" s="9" t="str">
        <x:v>Hour</x:v>
      </x:c>
      <x:c r="F1" s="9" t="str">
        <x:v>Interval energy (kWh)</x:v>
      </x:c>
    </x:row>
    <x:row r="2">
      <x:c r="A2" s="4" t="str">
        <x:v>Jan 1</x:v>
      </x:c>
      <x:c r="B2" s="6" t="n">
        <x:v>42</x:v>
      </x:c>
      <x:c r="C2" s="7" t="n">
        <x:v>8.4</x:v>
      </x:c>
      <x:c r="E2" s="4" t="str">
        <x:v>01:00</x:v>
      </x:c>
      <x:c r="F2" s="7"/>
    </x:row>
    <x:row r="3">
      <x:c r="A3" s="4" t="str">
        <x:v>Jan 2</x:v>
      </x:c>
      <x:c r="B3" s="6" t="n">
        <x:v>45.5</x:v>
      </x:c>
      <x:c r="C3" s="7" t="n">
        <x:v>9.1</x:v>
      </x:c>
      <x:c r="E3" s="4" t="str">
        <x:v>02:00</x:v>
      </x:c>
      <x:c r="F3" s="7" t="n">
        <x:v>0.7000000000000001</x:v>
      </x:c>
    </x:row>
    <x:row r="4">
      <x:c r="A4" s="4" t="str">
        <x:v>Jan 3</x:v>
      </x:c>
      <x:c r="B4" s="6" t="n">
        <x:v>44.5</x:v>
      </x:c>
      <x:c r="C4" s="7" t="n">
        <x:v>8.9</x:v>
      </x:c>
      <x:c r="E4" s="4" t="str">
        <x:v>03:00</x:v>
      </x:c>
      <x:c r="F4" s="7" t="n">
        <x:v>0.7999999999999998</x:v>
      </x:c>
    </x:row>
    <x:row r="5">
      <x:c r="A5" s="4" t="str">
        <x:v>Jan 4</x:v>
      </x:c>
      <x:c r="B5" s="6" t="n">
        <x:v>51</x:v>
      </x:c>
      <x:c r="C5" s="7" t="n">
        <x:v>10.2</x:v>
      </x:c>
      <x:c r="E5" s="4" t="str">
        <x:v>04:00</x:v>
      </x:c>
      <x:c r="F5" s="7" t="n">
        <x:v>0.8999999999999999</x:v>
      </x:c>
    </x:row>
    <x:row r="6">
      <x:c r="A6" s="4" t="str">
        <x:v>Jan 5</x:v>
      </x:c>
      <x:c r="B6" s="6" t="n">
        <x:v>55</x:v>
      </x:c>
      <x:c r="C6" s="7" t="n">
        <x:v>11</x:v>
      </x:c>
      <x:c r="E6" s="4" t="str">
        <x:v>05:00</x:v>
      </x:c>
      <x:c r="F6" s="7" t="n">
        <x:v>0.9000000000000004</x:v>
      </x:c>
    </x:row>
    <x:row r="7">
      <x:c r="A7" s="4" t="str">
        <x:v>Jan 6</x:v>
      </x:c>
      <x:c r="B7" s="6" t="n">
        <x:v>49</x:v>
      </x:c>
      <x:c r="C7" s="7" t="n">
        <x:v>9.8</x:v>
      </x:c>
      <x:c r="E7" s="4" t="str">
        <x:v>06:00</x:v>
      </x:c>
      <x:c r="F7" s="7" t="n">
        <x:v>1.2000000000000002</x:v>
      </x:c>
    </x:row>
    <x:row r="8">
      <x:c r="A8" s="4" t="str">
        <x:v>Jan 7</x:v>
      </x:c>
      <x:c r="B8" s="6" t="n">
        <x:v>53</x:v>
      </x:c>
      <x:c r="C8" s="7" t="n">
        <x:v>10.6</x:v>
      </x:c>
      <x:c r="E8" s="4" t="str">
        <x:v>07:00</x:v>
      </x:c>
      <x:c r="F8" s="7" t="n">
        <x:v>1.2999999999999998</x:v>
      </x:c>
    </x:row>
    <x:row r="9">
      <x:c r="A9" s="4" t="str">
        <x:v>Jan 8</x:v>
      </x:c>
      <x:c r="B9" s="6" t="n">
        <x:v>56.5</x:v>
      </x:c>
      <x:c r="C9" s="7" t="n">
        <x:v>11.3</x:v>
      </x:c>
      <x:c r="E9" s="4" t="str">
        <x:v>08:00</x:v>
      </x:c>
      <x:c r="F9" s="7" t="n">
        <x:v>1.2000000000000002</x:v>
      </x:c>
    </x:row>
    <x:row r="10">
      <x:c r="A10" s="4" t="str">
        <x:v>Jan 9</x:v>
      </x:c>
      <x:c r="B10" s="6" t="n">
        <x:v>53.5</x:v>
      </x:c>
      <x:c r="C10" s="7" t="n">
        <x:v>10.7</x:v>
      </x:c>
      <x:c r="E10" s="4" t="str">
        <x:v>09:00</x:v>
      </x:c>
      <x:c r="F10" s="7" t="n">
        <x:v>1.0999999999999996</x:v>
      </x:c>
    </x:row>
    <x:row r="11">
      <x:c r="A11" s="4" t="str">
        <x:v>Jan 10</x:v>
      </x:c>
      <x:c r="B11" s="6" t="n">
        <x:v>60</x:v>
      </x:c>
      <x:c r="C11" s="7" t="n">
        <x:v>12</x:v>
      </x:c>
      <x:c r="E11" s="4" t="str">
        <x:v>10:00</x:v>
      </x:c>
      <x:c r="F11" s="7" t="n">
        <x:v>1.1999999999999993</x:v>
      </x:c>
    </x:row>
    <x:row r="12">
      <x:c r="A12" s="4" t="str">
        <x:v>Jan 11</x:v>
      </x:c>
      <x:c r="B12" s="6" t="n">
        <x:v>57.5</x:v>
      </x:c>
      <x:c r="C12" s="7" t="n">
        <x:v>11.5</x:v>
      </x:c>
    </x:row>
    <x:row r="13">
      <x:c r="A13" s="4" t="str">
        <x:v>Jan 12</x:v>
      </x:c>
      <x:c r="B13" s="6" t="n">
        <x:v>54.5</x:v>
      </x:c>
      <x:c r="C13" s="7" t="n">
        <x:v>10.9</x:v>
      </x:c>
    </x:row>
    <x:row r="14">
      <x:c r="A14" s="4" t="str">
        <x:v>Jan 13</x:v>
      </x:c>
      <x:c r="B14" s="6" t="n">
        <x:v>62</x:v>
      </x:c>
      <x:c r="C14" s="7" t="n">
        <x:v>12.4</x:v>
      </x:c>
    </x:row>
    <x:row r="15">
      <x:c r="A15" s="4" t="str">
        <x:v>Jan 14</x:v>
      </x:c>
      <x:c r="B15" s="6" t="n">
        <x:v>59</x:v>
      </x:c>
      <x:c r="C15" s="7" t="n">
        <x:v>11.8</x:v>
      </x:c>
    </x:row>
  </x:sheetData>
  <x:pageMargins left="0.7" right="0.7" top="0.75" bottom="0.75" header="0.3" footer="0.3"/>
</x:worksheet>
</file>